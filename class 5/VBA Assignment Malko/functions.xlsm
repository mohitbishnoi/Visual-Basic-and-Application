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 activeTab="3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4" hidden="1">Sheet5!$A$1:$D$22</definedName>
    <definedName name="revenue">Sheet5!$C$2:$C$22</definedName>
  </definedNames>
  <calcPr calcId="144525"/>
</workbook>
</file>

<file path=xl/calcChain.xml><?xml version="1.0" encoding="utf-8"?>
<calcChain xmlns="http://schemas.openxmlformats.org/spreadsheetml/2006/main">
  <c r="H7" i="2" l="1"/>
  <c r="G7" i="5" l="1"/>
  <c r="G3" i="5" l="1"/>
  <c r="D4" i="1"/>
  <c r="D3" i="1"/>
  <c r="D2" i="1"/>
</calcChain>
</file>

<file path=xl/sharedStrings.xml><?xml version="1.0" encoding="utf-8"?>
<sst xmlns="http://schemas.openxmlformats.org/spreadsheetml/2006/main" count="93" uniqueCount="40">
  <si>
    <t>NOW</t>
  </si>
  <si>
    <t>TIME</t>
  </si>
  <si>
    <t>DATE</t>
  </si>
  <si>
    <t>SUM</t>
  </si>
  <si>
    <t>MEAN</t>
  </si>
  <si>
    <t>MAX</t>
  </si>
  <si>
    <t>MIN</t>
  </si>
  <si>
    <t>Loan</t>
  </si>
  <si>
    <t>Rate</t>
  </si>
  <si>
    <t>Duration</t>
  </si>
  <si>
    <t>EMI</t>
  </si>
  <si>
    <t>Find the price of given partno number</t>
  </si>
  <si>
    <t>Partno</t>
  </si>
  <si>
    <t>Price</t>
  </si>
  <si>
    <t>A104</t>
  </si>
  <si>
    <t>partno</t>
  </si>
  <si>
    <t>A110</t>
  </si>
  <si>
    <t>A107</t>
  </si>
  <si>
    <t>A105</t>
  </si>
  <si>
    <t>A103</t>
  </si>
  <si>
    <t>A101</t>
  </si>
  <si>
    <t>A108</t>
  </si>
  <si>
    <t>A109</t>
  </si>
  <si>
    <t>A102</t>
  </si>
  <si>
    <t>A106</t>
  </si>
  <si>
    <t>Month</t>
  </si>
  <si>
    <t>SalesRep</t>
  </si>
  <si>
    <t>Revenue</t>
  </si>
  <si>
    <t>Quantity</t>
  </si>
  <si>
    <t>how many sales are done in range of 1000 to 2000</t>
  </si>
  <si>
    <t>JAN</t>
  </si>
  <si>
    <t>A</t>
  </si>
  <si>
    <t>B</t>
  </si>
  <si>
    <t>C</t>
  </si>
  <si>
    <t>D</t>
  </si>
  <si>
    <t>FEB</t>
  </si>
  <si>
    <t>MAR</t>
  </si>
  <si>
    <t>APR</t>
  </si>
  <si>
    <t>price</t>
  </si>
  <si>
    <t>find total number of quantity sold by salesrep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</si>
</sst>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9" fontId="0" fillId="0" borderId="0" xfId="0" applyNumberFormat="1"/>
    <xf numFmtId="22" fontId="0" fillId="0" borderId="0" xfId="0" applyNumberFormat="1"/>
    <xf numFmtId="164" fontId="0" fillId="0" borderId="0" xfId="0" applyNumberFormat="1"/>
    <xf numFmtId="10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8"/>
  <sheetViews>
    <sheetView workbookViewId="0">
      <selection activeCell="F14" sqref="F14"/>
    </sheetView>
  </sheetViews>
  <sheetFormatPr defaultRowHeight="15" x14ac:dyDescent="0.25"/>
  <cols>
    <col min="2" max="2" width="13.5703125" bestFit="1" customWidth="1"/>
    <col min="4" max="4" width="14.85546875" bestFit="1" customWidth="1"/>
  </cols>
  <sheetData>
    <row r="2" spans="1:7" x14ac:dyDescent="0.25">
      <c r="A2" t="s">
        <v>2</v>
      </c>
      <c r="B2" s="1">
        <v>42174</v>
      </c>
      <c r="D2" s="1">
        <f ca="1">TODAY()</f>
        <v>42175</v>
      </c>
    </row>
    <row r="3" spans="1:7" x14ac:dyDescent="0.25">
      <c r="A3" t="s">
        <v>1</v>
      </c>
      <c r="B3" s="2">
        <v>0.84718749999999998</v>
      </c>
      <c r="D3" s="4">
        <f ca="1">NOW()-TODAY()</f>
        <v>0.59575057870097226</v>
      </c>
    </row>
    <row r="4" spans="1:7" x14ac:dyDescent="0.25">
      <c r="A4" t="s">
        <v>0</v>
      </c>
      <c r="B4" s="3">
        <v>42174.847187500003</v>
      </c>
      <c r="D4" s="3">
        <f ca="1">NOW()</f>
        <v>42175.595750578701</v>
      </c>
    </row>
    <row r="7" spans="1:7" x14ac:dyDescent="0.25">
      <c r="F7" t="s">
        <v>12</v>
      </c>
      <c r="G7" t="s">
        <v>13</v>
      </c>
    </row>
    <row r="8" spans="1:7" x14ac:dyDescent="0.25">
      <c r="F8" t="s">
        <v>23</v>
      </c>
      <c r="G8">
        <v>190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3"/>
  <sheetViews>
    <sheetView workbookViewId="0">
      <selection activeCell="H10" sqref="H10"/>
    </sheetView>
  </sheetViews>
  <sheetFormatPr defaultRowHeight="15" x14ac:dyDescent="0.25"/>
  <cols>
    <col min="8" max="8" width="11.5703125" bestFit="1" customWidth="1"/>
    <col min="10" max="10" width="11.85546875" bestFit="1" customWidth="1"/>
  </cols>
  <sheetData>
    <row r="1" spans="1:10" x14ac:dyDescent="0.25">
      <c r="A1">
        <v>100</v>
      </c>
      <c r="B1">
        <v>120</v>
      </c>
      <c r="C1" t="s">
        <v>3</v>
      </c>
    </row>
    <row r="2" spans="1:10" x14ac:dyDescent="0.25">
      <c r="A2">
        <v>200</v>
      </c>
      <c r="B2">
        <v>220</v>
      </c>
      <c r="C2" t="s">
        <v>4</v>
      </c>
    </row>
    <row r="3" spans="1:10" x14ac:dyDescent="0.25">
      <c r="A3">
        <v>300</v>
      </c>
      <c r="B3">
        <v>-330</v>
      </c>
      <c r="C3" t="s">
        <v>5</v>
      </c>
      <c r="D3">
        <v>550</v>
      </c>
    </row>
    <row r="4" spans="1:10" x14ac:dyDescent="0.25">
      <c r="A4">
        <v>400</v>
      </c>
      <c r="B4">
        <v>440</v>
      </c>
      <c r="C4" t="s">
        <v>6</v>
      </c>
      <c r="G4" t="s">
        <v>7</v>
      </c>
      <c r="H4">
        <v>100000</v>
      </c>
    </row>
    <row r="5" spans="1:10" x14ac:dyDescent="0.25">
      <c r="A5">
        <v>500</v>
      </c>
      <c r="B5">
        <v>550</v>
      </c>
      <c r="G5" t="s">
        <v>8</v>
      </c>
      <c r="H5" s="5">
        <v>8.5000000000000006E-2</v>
      </c>
    </row>
    <row r="6" spans="1:10" x14ac:dyDescent="0.25">
      <c r="G6" t="s">
        <v>9</v>
      </c>
      <c r="H6">
        <v>12</v>
      </c>
    </row>
    <row r="7" spans="1:10" x14ac:dyDescent="0.25">
      <c r="G7" t="s">
        <v>10</v>
      </c>
      <c r="H7" s="6">
        <f>PMT(H5/12,H6,-H4)</f>
        <v>8721.978246009272</v>
      </c>
      <c r="J7" s="6"/>
    </row>
    <row r="11" spans="1:10" x14ac:dyDescent="0.25">
      <c r="A11" t="s">
        <v>11</v>
      </c>
    </row>
    <row r="12" spans="1:10" x14ac:dyDescent="0.25">
      <c r="A12" t="s">
        <v>12</v>
      </c>
      <c r="B12" t="s">
        <v>13</v>
      </c>
    </row>
    <row r="13" spans="1:10" x14ac:dyDescent="0.25">
      <c r="A13" t="s">
        <v>14</v>
      </c>
      <c r="B13">
        <v>155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1"/>
  <sheetViews>
    <sheetView workbookViewId="0">
      <selection activeCell="I5" sqref="I5"/>
    </sheetView>
  </sheetViews>
  <sheetFormatPr defaultRowHeight="15" x14ac:dyDescent="0.25"/>
  <sheetData>
    <row r="1" spans="1:9" x14ac:dyDescent="0.25">
      <c r="A1" t="s">
        <v>15</v>
      </c>
      <c r="B1" t="s">
        <v>13</v>
      </c>
    </row>
    <row r="2" spans="1:9" x14ac:dyDescent="0.25">
      <c r="A2" t="s">
        <v>16</v>
      </c>
      <c r="B2">
        <v>110</v>
      </c>
    </row>
    <row r="3" spans="1:9" x14ac:dyDescent="0.25">
      <c r="A3" t="s">
        <v>17</v>
      </c>
      <c r="B3">
        <v>114</v>
      </c>
    </row>
    <row r="4" spans="1:9" x14ac:dyDescent="0.25">
      <c r="A4" t="s">
        <v>18</v>
      </c>
      <c r="B4">
        <v>149</v>
      </c>
      <c r="H4" t="s">
        <v>15</v>
      </c>
      <c r="I4" t="s">
        <v>38</v>
      </c>
    </row>
    <row r="5" spans="1:9" x14ac:dyDescent="0.25">
      <c r="A5" t="s">
        <v>14</v>
      </c>
      <c r="B5">
        <v>155</v>
      </c>
      <c r="H5" t="s">
        <v>14</v>
      </c>
      <c r="I5">
        <v>155</v>
      </c>
    </row>
    <row r="6" spans="1:9" x14ac:dyDescent="0.25">
      <c r="A6" t="s">
        <v>19</v>
      </c>
      <c r="B6">
        <v>162</v>
      </c>
    </row>
    <row r="7" spans="1:9" x14ac:dyDescent="0.25">
      <c r="A7" t="s">
        <v>20</v>
      </c>
      <c r="B7">
        <v>171</v>
      </c>
    </row>
    <row r="8" spans="1:9" x14ac:dyDescent="0.25">
      <c r="A8" t="s">
        <v>21</v>
      </c>
      <c r="B8">
        <v>171</v>
      </c>
    </row>
    <row r="9" spans="1:9" x14ac:dyDescent="0.25">
      <c r="A9" t="s">
        <v>22</v>
      </c>
      <c r="B9">
        <v>171</v>
      </c>
    </row>
    <row r="10" spans="1:9" x14ac:dyDescent="0.25">
      <c r="A10" t="s">
        <v>23</v>
      </c>
      <c r="B10">
        <v>190</v>
      </c>
    </row>
    <row r="11" spans="1:9" x14ac:dyDescent="0.25">
      <c r="A11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"/>
  <sheetViews>
    <sheetView tabSelected="1" workbookViewId="0">
      <selection activeCell="F23" sqref="F23"/>
    </sheetView>
  </sheetViews>
  <sheetFormatPr defaultRowHeight="15" x14ac:dyDescent="0.25"/>
  <sheetData>
    <row r="1" spans="1:11" x14ac:dyDescent="0.25">
      <c r="A1" t="s">
        <v>15</v>
      </c>
      <c r="B1" t="s">
        <v>16</v>
      </c>
      <c r="C1" t="s">
        <v>17</v>
      </c>
      <c r="D1" t="s">
        <v>18</v>
      </c>
      <c r="E1" t="s">
        <v>14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</row>
    <row r="2" spans="1:11" x14ac:dyDescent="0.25">
      <c r="A2" t="s">
        <v>13</v>
      </c>
      <c r="B2">
        <v>110</v>
      </c>
      <c r="C2">
        <v>114</v>
      </c>
      <c r="D2">
        <v>149</v>
      </c>
      <c r="E2">
        <v>155</v>
      </c>
      <c r="F2">
        <v>162</v>
      </c>
      <c r="G2">
        <v>171</v>
      </c>
      <c r="H2">
        <v>171</v>
      </c>
      <c r="I2">
        <v>171</v>
      </c>
      <c r="J2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J15" sqref="J15"/>
    </sheetView>
  </sheetViews>
  <sheetFormatPr defaultRowHeight="15" x14ac:dyDescent="0.25"/>
  <sheetData>
    <row r="1" spans="1:7" x14ac:dyDescent="0.25">
      <c r="A1" t="s">
        <v>25</v>
      </c>
      <c r="B1" t="s">
        <v>26</v>
      </c>
      <c r="C1" t="s">
        <v>27</v>
      </c>
      <c r="D1" t="s">
        <v>28</v>
      </c>
      <c r="G1" t="s">
        <v>29</v>
      </c>
    </row>
    <row r="2" spans="1:7" x14ac:dyDescent="0.25">
      <c r="A2" t="s">
        <v>30</v>
      </c>
      <c r="B2" t="s">
        <v>31</v>
      </c>
      <c r="C2">
        <v>1000</v>
      </c>
      <c r="D2">
        <v>30</v>
      </c>
    </row>
    <row r="3" spans="1:7" x14ac:dyDescent="0.25">
      <c r="A3" t="s">
        <v>30</v>
      </c>
      <c r="B3" t="s">
        <v>32</v>
      </c>
      <c r="C3">
        <v>2000</v>
      </c>
      <c r="D3">
        <v>40</v>
      </c>
      <c r="G3">
        <f>COUNTIFS(revenue,"&gt;=1000",revenue,"&lt;=2000")</f>
        <v>13</v>
      </c>
    </row>
    <row r="4" spans="1:7" x14ac:dyDescent="0.25">
      <c r="A4" t="s">
        <v>30</v>
      </c>
      <c r="B4" t="s">
        <v>33</v>
      </c>
      <c r="C4">
        <v>3000</v>
      </c>
      <c r="D4">
        <v>50</v>
      </c>
    </row>
    <row r="5" spans="1:7" x14ac:dyDescent="0.25">
      <c r="A5" t="s">
        <v>30</v>
      </c>
      <c r="B5" t="s">
        <v>34</v>
      </c>
      <c r="C5">
        <v>1000</v>
      </c>
      <c r="D5">
        <v>10</v>
      </c>
      <c r="G5" t="s">
        <v>39</v>
      </c>
    </row>
    <row r="6" spans="1:7" x14ac:dyDescent="0.25">
      <c r="A6" t="s">
        <v>35</v>
      </c>
      <c r="B6" t="s">
        <v>31</v>
      </c>
      <c r="C6">
        <v>2000</v>
      </c>
      <c r="D6">
        <v>20</v>
      </c>
    </row>
    <row r="7" spans="1:7" x14ac:dyDescent="0.25">
      <c r="A7" t="s">
        <v>35</v>
      </c>
      <c r="B7" t="s">
        <v>32</v>
      </c>
      <c r="C7">
        <v>3000</v>
      </c>
      <c r="D7">
        <v>30</v>
      </c>
      <c r="G7">
        <f>SUMIF(B2:B22,"C",D2:D22)</f>
        <v>230</v>
      </c>
    </row>
    <row r="8" spans="1:7" x14ac:dyDescent="0.25">
      <c r="A8" t="s">
        <v>35</v>
      </c>
      <c r="B8" t="s">
        <v>33</v>
      </c>
      <c r="C8">
        <v>2000</v>
      </c>
      <c r="D8">
        <v>40</v>
      </c>
    </row>
    <row r="9" spans="1:7" x14ac:dyDescent="0.25">
      <c r="A9" t="s">
        <v>35</v>
      </c>
      <c r="B9" t="s">
        <v>34</v>
      </c>
      <c r="C9">
        <v>3000</v>
      </c>
      <c r="D9">
        <v>20</v>
      </c>
    </row>
    <row r="10" spans="1:7" x14ac:dyDescent="0.25">
      <c r="A10" t="s">
        <v>35</v>
      </c>
      <c r="B10" t="s">
        <v>31</v>
      </c>
      <c r="C10">
        <v>2000</v>
      </c>
      <c r="D10">
        <v>30</v>
      </c>
    </row>
    <row r="11" spans="1:7" x14ac:dyDescent="0.25">
      <c r="A11" t="s">
        <v>36</v>
      </c>
      <c r="B11" t="s">
        <v>32</v>
      </c>
      <c r="C11">
        <v>1000</v>
      </c>
      <c r="D11">
        <v>40</v>
      </c>
    </row>
    <row r="12" spans="1:7" x14ac:dyDescent="0.25">
      <c r="A12" t="s">
        <v>36</v>
      </c>
      <c r="B12" t="s">
        <v>33</v>
      </c>
      <c r="C12">
        <v>3000</v>
      </c>
      <c r="D12">
        <v>50</v>
      </c>
    </row>
    <row r="13" spans="1:7" x14ac:dyDescent="0.25">
      <c r="A13" t="s">
        <v>36</v>
      </c>
      <c r="B13" t="s">
        <v>34</v>
      </c>
      <c r="C13">
        <v>5000</v>
      </c>
      <c r="D13">
        <v>20</v>
      </c>
    </row>
    <row r="14" spans="1:7" x14ac:dyDescent="0.25">
      <c r="A14" t="s">
        <v>36</v>
      </c>
      <c r="B14" t="s">
        <v>32</v>
      </c>
      <c r="C14">
        <v>2000</v>
      </c>
      <c r="D14">
        <v>10</v>
      </c>
    </row>
    <row r="15" spans="1:7" x14ac:dyDescent="0.25">
      <c r="A15" t="s">
        <v>36</v>
      </c>
      <c r="B15" t="s">
        <v>33</v>
      </c>
      <c r="C15">
        <v>1000</v>
      </c>
      <c r="D15">
        <v>20</v>
      </c>
    </row>
    <row r="16" spans="1:7" x14ac:dyDescent="0.25">
      <c r="A16" t="s">
        <v>36</v>
      </c>
      <c r="B16" t="s">
        <v>34</v>
      </c>
      <c r="C16">
        <v>2000</v>
      </c>
      <c r="D16">
        <v>30</v>
      </c>
    </row>
    <row r="17" spans="1:4" x14ac:dyDescent="0.25">
      <c r="A17" t="s">
        <v>37</v>
      </c>
      <c r="B17" t="s">
        <v>32</v>
      </c>
      <c r="C17">
        <v>1200</v>
      </c>
      <c r="D17">
        <v>30</v>
      </c>
    </row>
    <row r="18" spans="1:4" x14ac:dyDescent="0.25">
      <c r="A18" t="s">
        <v>37</v>
      </c>
      <c r="B18" t="s">
        <v>33</v>
      </c>
      <c r="C18">
        <v>1300</v>
      </c>
      <c r="D18">
        <v>40</v>
      </c>
    </row>
    <row r="19" spans="1:4" x14ac:dyDescent="0.25">
      <c r="A19" t="s">
        <v>37</v>
      </c>
      <c r="B19" t="s">
        <v>34</v>
      </c>
      <c r="C19">
        <v>1400</v>
      </c>
      <c r="D19">
        <v>60</v>
      </c>
    </row>
    <row r="20" spans="1:4" x14ac:dyDescent="0.25">
      <c r="A20" t="s">
        <v>37</v>
      </c>
      <c r="B20" t="s">
        <v>31</v>
      </c>
      <c r="C20">
        <v>2200</v>
      </c>
      <c r="D20">
        <v>70</v>
      </c>
    </row>
    <row r="21" spans="1:4" x14ac:dyDescent="0.25">
      <c r="A21" t="s">
        <v>37</v>
      </c>
      <c r="B21" t="s">
        <v>32</v>
      </c>
      <c r="C21">
        <v>2400</v>
      </c>
      <c r="D21">
        <v>20</v>
      </c>
    </row>
    <row r="22" spans="1:4" x14ac:dyDescent="0.25">
      <c r="A22" t="s">
        <v>37</v>
      </c>
      <c r="B22" t="s">
        <v>33</v>
      </c>
      <c r="C22">
        <v>2500</v>
      </c>
      <c r="D22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revenue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Alok</cp:lastModifiedBy>
  <dcterms:created xsi:type="dcterms:W3CDTF">2006-09-16T00:00:00Z</dcterms:created>
  <dcterms:modified xsi:type="dcterms:W3CDTF">2015-06-20T08:53:22Z</dcterms:modified>
</cp:coreProperties>
</file>